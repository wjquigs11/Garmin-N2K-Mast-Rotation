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66925"/>
  <xr:revisionPtr revIDLastSave="239" documentId="11_E60897F41BE170836B02CE998F75CCDC64E183C8" xr6:coauthVersionLast="47" xr6:coauthVersionMax="47" xr10:uidLastSave="{A16134B4-2FB3-4EF6-BD39-DE9A4D4E913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5" i="1" s="1"/>
  <c r="Q6" i="1" s="1"/>
  <c r="Q7" i="1" s="1"/>
  <c r="Q8" i="1" s="1"/>
  <c r="Q9" i="1" s="1"/>
  <c r="Q10" i="1" s="1"/>
  <c r="Q11" i="1" s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Q12" i="1" l="1"/>
  <c r="Q13" i="1" s="1"/>
  <c r="Q14" i="1" s="1"/>
  <c r="Q15" i="1" s="1"/>
  <c r="Q16" i="1" s="1"/>
  <c r="Q17" i="1" s="1"/>
  <c r="Q18" i="1" s="1"/>
  <c r="Q19" i="1" s="1"/>
  <c r="Q20" i="1" s="1"/>
  <c r="Q21" i="1" s="1"/>
  <c r="Q22" i="1" s="1"/>
</calcChain>
</file>

<file path=xl/sharedStrings.xml><?xml version="1.0" encoding="utf-8"?>
<sst xmlns="http://schemas.openxmlformats.org/spreadsheetml/2006/main" count="135" uniqueCount="85">
  <si>
    <t>ESPberry w RS485 CAN (Ceratops)</t>
  </si>
  <si>
    <t>ESPberry w PICAN-M (Tatiana)</t>
  </si>
  <si>
    <t>RPI PIN</t>
  </si>
  <si>
    <t>+3V3</t>
  </si>
  <si>
    <t>CMPS14 +</t>
  </si>
  <si>
    <t xml:space="preserve">+5V </t>
  </si>
  <si>
    <t>power in</t>
  </si>
  <si>
    <t>CAN xceiv</t>
  </si>
  <si>
    <t>display</t>
  </si>
  <si>
    <t>IO21</t>
  </si>
  <si>
    <t>SDA</t>
  </si>
  <si>
    <t>CMPS14 (purple/blue)</t>
  </si>
  <si>
    <t>UM982</t>
  </si>
  <si>
    <t>IO22</t>
  </si>
  <si>
    <t>SCL</t>
  </si>
  <si>
    <t>CMPS14 (orange/yellow)</t>
  </si>
  <si>
    <t>GND</t>
  </si>
  <si>
    <t>CMPS14</t>
  </si>
  <si>
    <t>CAN RX</t>
  </si>
  <si>
    <t>IO13</t>
  </si>
  <si>
    <t>DC</t>
  </si>
  <si>
    <t>SPI</t>
  </si>
  <si>
    <t>display DC</t>
  </si>
  <si>
    <t>UART</t>
  </si>
  <si>
    <t>controller</t>
  </si>
  <si>
    <t>IO25</t>
  </si>
  <si>
    <t>IO35</t>
  </si>
  <si>
    <t>CAN RX (y)</t>
  </si>
  <si>
    <t>IO26</t>
  </si>
  <si>
    <t>RST</t>
  </si>
  <si>
    <t>display RST</t>
  </si>
  <si>
    <t>?</t>
  </si>
  <si>
    <t>CAN</t>
  </si>
  <si>
    <t>IO27</t>
  </si>
  <si>
    <t>CAN TX (p)</t>
  </si>
  <si>
    <t>CAN TX</t>
  </si>
  <si>
    <t>SDA/MOSI</t>
  </si>
  <si>
    <t>display+CAN Pang</t>
  </si>
  <si>
    <t>MOSI</t>
  </si>
  <si>
    <t>(MISO)</t>
  </si>
  <si>
    <t>CAN Pang</t>
  </si>
  <si>
    <t>IO34</t>
  </si>
  <si>
    <t>Pi Comp RX</t>
  </si>
  <si>
    <t>MISO</t>
  </si>
  <si>
    <t>SCLK</t>
  </si>
  <si>
    <t>CE0 (IO5)</t>
  </si>
  <si>
    <t>CE0</t>
  </si>
  <si>
    <t>CAN?</t>
  </si>
  <si>
    <t xml:space="preserve">CAN  </t>
  </si>
  <si>
    <t>RTK</t>
  </si>
  <si>
    <t>IO7</t>
  </si>
  <si>
    <t>IO14</t>
  </si>
  <si>
    <t>CS</t>
  </si>
  <si>
    <t>SPI-CS</t>
  </si>
  <si>
    <t>IO4</t>
  </si>
  <si>
    <t>Wire2 SCL</t>
  </si>
  <si>
    <t>IO33</t>
  </si>
  <si>
    <t>RTK TX (serial RX)</t>
  </si>
  <si>
    <t>Wire2 SDA</t>
  </si>
  <si>
    <t>IO32</t>
  </si>
  <si>
    <t>RTK RX (serial TX)</t>
  </si>
  <si>
    <t>Wire2</t>
  </si>
  <si>
    <t>RS485 CAN HAT pins</t>
  </si>
  <si>
    <t>I2C</t>
  </si>
  <si>
    <t>3V3</t>
  </si>
  <si>
    <t>SCK</t>
  </si>
  <si>
    <t>INT</t>
  </si>
  <si>
    <t>ADS1015</t>
  </si>
  <si>
    <t>0x48</t>
  </si>
  <si>
    <t>(qwiic)</t>
  </si>
  <si>
    <t>(SDA)</t>
  </si>
  <si>
    <t>(SCL)</t>
  </si>
  <si>
    <t>DO NOT USE FOR DISPLAY</t>
  </si>
  <si>
    <t>0x3C</t>
  </si>
  <si>
    <t>JUST FOR CAN</t>
  </si>
  <si>
    <t>BNO085</t>
  </si>
  <si>
    <t>0x4A</t>
  </si>
  <si>
    <t>Map SPI display to I2C labels</t>
  </si>
  <si>
    <t>CS -&gt; SS</t>
  </si>
  <si>
    <t>DC -&gt; user defined</t>
  </si>
  <si>
    <t>RES -&gt; user defined</t>
  </si>
  <si>
    <t>SDA -&gt; MOSI</t>
  </si>
  <si>
    <t>SCL -&gt; CLK</t>
  </si>
  <si>
    <t>VCC -&gt; VCC</t>
  </si>
  <si>
    <t>GND -&gt; GND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</si>
</sst>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U35"/>
  <sheetViews>
    <sheetView tabSelected="1" topLeftCell="C1" workbookViewId="0">
      <selection activeCell="S8" sqref="S8"/>
    </sheetView>
  </sheetViews>
  <sheetFormatPr defaultRowHeight="15"/>
  <cols>
    <col min="5" max="5" width="9.140625" style="1"/>
    <col min="7" max="7" width="16.42578125" bestFit="1" customWidth="1"/>
  </cols>
  <sheetData>
    <row r="1" spans="4:21">
      <c r="D1" t="s">
        <v>0</v>
      </c>
      <c r="M1" t="s">
        <v>1</v>
      </c>
    </row>
    <row r="2" spans="4:21">
      <c r="D2" t="s">
        <v>2</v>
      </c>
      <c r="M2" t="s">
        <v>2</v>
      </c>
    </row>
    <row r="3" spans="4:21">
      <c r="D3">
        <v>1</v>
      </c>
      <c r="E3" s="1" t="s">
        <v>3</v>
      </c>
      <c r="G3" t="s">
        <v>4</v>
      </c>
      <c r="H3">
        <v>2</v>
      </c>
      <c r="I3" t="s">
        <v>5</v>
      </c>
      <c r="K3" t="s">
        <v>6</v>
      </c>
      <c r="M3">
        <v>1</v>
      </c>
      <c r="N3" t="s">
        <v>3</v>
      </c>
      <c r="O3" t="s">
        <v>7</v>
      </c>
      <c r="Q3">
        <v>2</v>
      </c>
      <c r="R3" t="s">
        <v>5</v>
      </c>
      <c r="S3" t="s">
        <v>8</v>
      </c>
    </row>
    <row r="4" spans="4:21">
      <c r="D4">
        <f>+D3+2</f>
        <v>3</v>
      </c>
      <c r="E4" s="1" t="s">
        <v>9</v>
      </c>
      <c r="F4" t="s">
        <v>10</v>
      </c>
      <c r="G4" t="s">
        <v>11</v>
      </c>
      <c r="H4">
        <f>+H3+2</f>
        <v>4</v>
      </c>
      <c r="I4" t="s">
        <v>5</v>
      </c>
      <c r="K4" t="s">
        <v>8</v>
      </c>
      <c r="M4">
        <f>+M3+2</f>
        <v>3</v>
      </c>
      <c r="N4" t="s">
        <v>9</v>
      </c>
      <c r="O4" t="s">
        <v>10</v>
      </c>
      <c r="Q4">
        <f>+Q3+2</f>
        <v>4</v>
      </c>
      <c r="R4" t="s">
        <v>5</v>
      </c>
      <c r="S4" t="s">
        <v>12</v>
      </c>
    </row>
    <row r="5" spans="4:21">
      <c r="D5">
        <f t="shared" ref="D5:D33" si="0">+D4+2</f>
        <v>5</v>
      </c>
      <c r="E5" s="1" t="s">
        <v>13</v>
      </c>
      <c r="F5" t="s">
        <v>14</v>
      </c>
      <c r="G5" t="s">
        <v>15</v>
      </c>
      <c r="H5">
        <f t="shared" ref="H5:H22" si="1">+H4+2</f>
        <v>6</v>
      </c>
      <c r="I5" t="s">
        <v>16</v>
      </c>
      <c r="K5" t="s">
        <v>17</v>
      </c>
      <c r="M5">
        <f t="shared" ref="M5:M22" si="2">+M4+2</f>
        <v>5</v>
      </c>
      <c r="N5" t="s">
        <v>13</v>
      </c>
      <c r="O5" t="s">
        <v>14</v>
      </c>
      <c r="Q5">
        <f t="shared" ref="Q5:Q22" si="3">+Q4+2</f>
        <v>6</v>
      </c>
      <c r="R5" t="s">
        <v>16</v>
      </c>
      <c r="S5" t="s">
        <v>18</v>
      </c>
    </row>
    <row r="6" spans="4:21">
      <c r="D6">
        <f t="shared" si="0"/>
        <v>7</v>
      </c>
      <c r="E6" s="1" t="s">
        <v>19</v>
      </c>
      <c r="F6" t="s">
        <v>20</v>
      </c>
      <c r="G6" t="s">
        <v>8</v>
      </c>
      <c r="H6">
        <f t="shared" si="1"/>
        <v>8</v>
      </c>
      <c r="M6">
        <f t="shared" si="2"/>
        <v>7</v>
      </c>
      <c r="N6" t="s">
        <v>19</v>
      </c>
      <c r="O6" t="s">
        <v>21</v>
      </c>
      <c r="P6" t="s">
        <v>22</v>
      </c>
      <c r="Q6">
        <f t="shared" si="3"/>
        <v>8</v>
      </c>
      <c r="S6" t="s">
        <v>23</v>
      </c>
    </row>
    <row r="7" spans="4:21">
      <c r="D7">
        <f t="shared" si="0"/>
        <v>9</v>
      </c>
      <c r="E7" s="1" t="s">
        <v>16</v>
      </c>
      <c r="G7" t="s">
        <v>24</v>
      </c>
      <c r="H7">
        <f t="shared" si="1"/>
        <v>10</v>
      </c>
      <c r="M7">
        <f t="shared" si="2"/>
        <v>9</v>
      </c>
      <c r="N7" t="s">
        <v>16</v>
      </c>
      <c r="Q7">
        <f t="shared" si="3"/>
        <v>10</v>
      </c>
      <c r="S7" t="s">
        <v>23</v>
      </c>
    </row>
    <row r="8" spans="4:21">
      <c r="D8">
        <f t="shared" si="0"/>
        <v>11</v>
      </c>
      <c r="E8" s="1">
        <v>36</v>
      </c>
      <c r="H8">
        <f t="shared" si="1"/>
        <v>12</v>
      </c>
      <c r="M8">
        <f t="shared" si="2"/>
        <v>11</v>
      </c>
      <c r="Q8">
        <f t="shared" si="3"/>
        <v>12</v>
      </c>
      <c r="R8" t="s">
        <v>25</v>
      </c>
    </row>
    <row r="9" spans="4:21">
      <c r="D9">
        <f t="shared" si="0"/>
        <v>13</v>
      </c>
      <c r="E9" s="1">
        <v>39</v>
      </c>
      <c r="H9">
        <f t="shared" si="1"/>
        <v>14</v>
      </c>
      <c r="I9" t="s">
        <v>16</v>
      </c>
      <c r="K9" t="s">
        <v>8</v>
      </c>
      <c r="M9">
        <f t="shared" si="2"/>
        <v>13</v>
      </c>
      <c r="Q9">
        <f t="shared" si="3"/>
        <v>14</v>
      </c>
      <c r="R9" t="s">
        <v>16</v>
      </c>
    </row>
    <row r="10" spans="4:21">
      <c r="D10">
        <f t="shared" si="0"/>
        <v>15</v>
      </c>
      <c r="E10" s="1" t="s">
        <v>26</v>
      </c>
      <c r="G10" t="s">
        <v>27</v>
      </c>
      <c r="H10">
        <f t="shared" si="1"/>
        <v>16</v>
      </c>
      <c r="I10" t="s">
        <v>28</v>
      </c>
      <c r="J10" t="s">
        <v>29</v>
      </c>
      <c r="K10" t="s">
        <v>8</v>
      </c>
      <c r="M10">
        <f t="shared" si="2"/>
        <v>15</v>
      </c>
      <c r="N10" t="s">
        <v>26</v>
      </c>
      <c r="O10" t="s">
        <v>18</v>
      </c>
      <c r="Q10">
        <f t="shared" si="3"/>
        <v>16</v>
      </c>
      <c r="R10" t="s">
        <v>28</v>
      </c>
      <c r="S10" t="s">
        <v>30</v>
      </c>
      <c r="U10" t="s">
        <v>31</v>
      </c>
    </row>
    <row r="11" spans="4:21">
      <c r="D11">
        <f t="shared" si="0"/>
        <v>17</v>
      </c>
      <c r="E11" s="1" t="s">
        <v>3</v>
      </c>
      <c r="G11" t="s">
        <v>32</v>
      </c>
      <c r="H11">
        <f t="shared" si="1"/>
        <v>18</v>
      </c>
      <c r="I11" t="s">
        <v>33</v>
      </c>
      <c r="K11" t="s">
        <v>34</v>
      </c>
      <c r="M11">
        <f t="shared" si="2"/>
        <v>17</v>
      </c>
      <c r="N11" t="s">
        <v>3</v>
      </c>
      <c r="O11" s="2"/>
      <c r="Q11">
        <f t="shared" si="3"/>
        <v>18</v>
      </c>
      <c r="R11" t="s">
        <v>33</v>
      </c>
      <c r="S11" t="s">
        <v>35</v>
      </c>
    </row>
    <row r="12" spans="4:21">
      <c r="D12">
        <f t="shared" si="0"/>
        <v>19</v>
      </c>
      <c r="E12" s="1" t="s">
        <v>36</v>
      </c>
      <c r="G12" t="s">
        <v>37</v>
      </c>
      <c r="H12">
        <f t="shared" si="1"/>
        <v>20</v>
      </c>
      <c r="M12">
        <f t="shared" si="2"/>
        <v>19</v>
      </c>
      <c r="N12" t="s">
        <v>38</v>
      </c>
      <c r="O12" t="s">
        <v>21</v>
      </c>
      <c r="P12" t="s">
        <v>8</v>
      </c>
      <c r="Q12">
        <f t="shared" si="3"/>
        <v>20</v>
      </c>
      <c r="R12" t="s">
        <v>16</v>
      </c>
      <c r="S12" t="s">
        <v>8</v>
      </c>
    </row>
    <row r="13" spans="4:21">
      <c r="D13">
        <f t="shared" si="0"/>
        <v>21</v>
      </c>
      <c r="E13" s="1" t="s">
        <v>39</v>
      </c>
      <c r="G13" t="s">
        <v>40</v>
      </c>
      <c r="H13">
        <f t="shared" si="1"/>
        <v>22</v>
      </c>
      <c r="I13" t="s">
        <v>41</v>
      </c>
      <c r="K13" t="s">
        <v>42</v>
      </c>
      <c r="M13">
        <f t="shared" si="2"/>
        <v>21</v>
      </c>
      <c r="N13" t="s">
        <v>43</v>
      </c>
      <c r="O13" t="s">
        <v>21</v>
      </c>
      <c r="Q13">
        <f t="shared" si="3"/>
        <v>22</v>
      </c>
      <c r="R13" t="s">
        <v>41</v>
      </c>
    </row>
    <row r="14" spans="4:21">
      <c r="D14">
        <f t="shared" si="0"/>
        <v>23</v>
      </c>
      <c r="E14" s="1" t="s">
        <v>44</v>
      </c>
      <c r="G14" t="s">
        <v>37</v>
      </c>
      <c r="H14">
        <f t="shared" si="1"/>
        <v>24</v>
      </c>
      <c r="I14" t="s">
        <v>45</v>
      </c>
      <c r="M14">
        <f t="shared" si="2"/>
        <v>23</v>
      </c>
      <c r="N14" t="s">
        <v>44</v>
      </c>
      <c r="O14" t="s">
        <v>21</v>
      </c>
      <c r="P14" t="s">
        <v>8</v>
      </c>
      <c r="Q14">
        <f t="shared" si="3"/>
        <v>24</v>
      </c>
      <c r="R14" t="s">
        <v>46</v>
      </c>
      <c r="S14" t="s">
        <v>47</v>
      </c>
    </row>
    <row r="15" spans="4:21">
      <c r="D15">
        <f t="shared" si="0"/>
        <v>25</v>
      </c>
      <c r="E15" s="1" t="s">
        <v>16</v>
      </c>
      <c r="G15" t="s">
        <v>48</v>
      </c>
      <c r="H15">
        <f t="shared" si="1"/>
        <v>26</v>
      </c>
      <c r="M15">
        <f t="shared" si="2"/>
        <v>25</v>
      </c>
      <c r="N15" t="s">
        <v>16</v>
      </c>
      <c r="O15" t="s">
        <v>49</v>
      </c>
      <c r="Q15">
        <f t="shared" si="3"/>
        <v>26</v>
      </c>
      <c r="R15" t="s">
        <v>50</v>
      </c>
    </row>
    <row r="16" spans="4:21">
      <c r="D16">
        <f t="shared" si="0"/>
        <v>27</v>
      </c>
      <c r="H16">
        <f t="shared" si="1"/>
        <v>28</v>
      </c>
      <c r="M16">
        <f t="shared" si="2"/>
        <v>27</v>
      </c>
      <c r="Q16">
        <f t="shared" si="3"/>
        <v>28</v>
      </c>
    </row>
    <row r="17" spans="3:21">
      <c r="D17">
        <f t="shared" si="0"/>
        <v>29</v>
      </c>
      <c r="E17" s="1">
        <v>0</v>
      </c>
      <c r="H17">
        <f t="shared" si="1"/>
        <v>30</v>
      </c>
      <c r="M17">
        <f t="shared" si="2"/>
        <v>29</v>
      </c>
      <c r="Q17">
        <f t="shared" si="3"/>
        <v>30</v>
      </c>
    </row>
    <row r="18" spans="3:21">
      <c r="D18">
        <f t="shared" si="0"/>
        <v>31</v>
      </c>
      <c r="E18" s="1" t="s">
        <v>51</v>
      </c>
      <c r="F18" t="s">
        <v>52</v>
      </c>
      <c r="G18" t="s">
        <v>8</v>
      </c>
      <c r="H18">
        <f t="shared" si="1"/>
        <v>32</v>
      </c>
      <c r="M18">
        <f t="shared" si="2"/>
        <v>31</v>
      </c>
      <c r="N18" t="s">
        <v>51</v>
      </c>
      <c r="O18" t="s">
        <v>53</v>
      </c>
      <c r="P18" t="s">
        <v>22</v>
      </c>
      <c r="Q18">
        <f t="shared" si="3"/>
        <v>32</v>
      </c>
      <c r="R18" t="s">
        <v>54</v>
      </c>
      <c r="S18" t="s">
        <v>8</v>
      </c>
      <c r="T18" t="s">
        <v>29</v>
      </c>
      <c r="U18" t="s">
        <v>31</v>
      </c>
    </row>
    <row r="19" spans="3:21">
      <c r="D19">
        <f t="shared" si="0"/>
        <v>33</v>
      </c>
      <c r="E19" s="1">
        <v>33</v>
      </c>
      <c r="F19" t="s">
        <v>55</v>
      </c>
      <c r="H19">
        <f t="shared" si="1"/>
        <v>34</v>
      </c>
      <c r="M19">
        <f t="shared" si="2"/>
        <v>33</v>
      </c>
      <c r="N19" t="s">
        <v>56</v>
      </c>
      <c r="O19" t="s">
        <v>57</v>
      </c>
      <c r="Q19">
        <f t="shared" si="3"/>
        <v>34</v>
      </c>
    </row>
    <row r="20" spans="3:21">
      <c r="D20">
        <f t="shared" si="0"/>
        <v>35</v>
      </c>
      <c r="E20" s="1">
        <v>32</v>
      </c>
      <c r="F20" t="s">
        <v>58</v>
      </c>
      <c r="H20">
        <f t="shared" si="1"/>
        <v>36</v>
      </c>
      <c r="M20">
        <f t="shared" si="2"/>
        <v>35</v>
      </c>
      <c r="N20" t="s">
        <v>59</v>
      </c>
      <c r="O20" t="s">
        <v>60</v>
      </c>
      <c r="Q20">
        <f t="shared" si="3"/>
        <v>36</v>
      </c>
    </row>
    <row r="21" spans="3:21">
      <c r="D21">
        <f t="shared" si="0"/>
        <v>37</v>
      </c>
      <c r="E21" s="1">
        <v>12</v>
      </c>
      <c r="H21">
        <f t="shared" si="1"/>
        <v>38</v>
      </c>
      <c r="M21">
        <f t="shared" si="2"/>
        <v>37</v>
      </c>
      <c r="Q21">
        <f t="shared" si="3"/>
        <v>38</v>
      </c>
    </row>
    <row r="22" spans="3:21">
      <c r="D22">
        <f t="shared" si="0"/>
        <v>39</v>
      </c>
      <c r="E22" s="1" t="s">
        <v>16</v>
      </c>
      <c r="F22" t="s">
        <v>61</v>
      </c>
      <c r="H22">
        <f t="shared" si="1"/>
        <v>40</v>
      </c>
      <c r="M22">
        <f t="shared" si="2"/>
        <v>39</v>
      </c>
      <c r="Q22">
        <f t="shared" si="3"/>
        <v>40</v>
      </c>
    </row>
    <row r="24" spans="3:21">
      <c r="C24" t="s">
        <v>62</v>
      </c>
      <c r="N24" t="s">
        <v>63</v>
      </c>
    </row>
    <row r="25" spans="3:21">
      <c r="D25" t="s">
        <v>64</v>
      </c>
      <c r="E25" s="1" t="s">
        <v>16</v>
      </c>
      <c r="F25" t="s">
        <v>43</v>
      </c>
      <c r="G25" t="s">
        <v>38</v>
      </c>
      <c r="H25" t="s">
        <v>65</v>
      </c>
      <c r="I25" t="s">
        <v>52</v>
      </c>
      <c r="J25" t="s">
        <v>66</v>
      </c>
      <c r="N25" t="s">
        <v>67</v>
      </c>
      <c r="O25" t="s">
        <v>68</v>
      </c>
      <c r="P25" t="s">
        <v>69</v>
      </c>
    </row>
    <row r="26" spans="3:21">
      <c r="G26" t="s">
        <v>70</v>
      </c>
      <c r="H26" t="s">
        <v>71</v>
      </c>
      <c r="I26" t="s">
        <v>72</v>
      </c>
      <c r="N26" t="s">
        <v>8</v>
      </c>
      <c r="O26" t="s">
        <v>73</v>
      </c>
    </row>
    <row r="27" spans="3:21">
      <c r="I27" t="s">
        <v>74</v>
      </c>
      <c r="N27" t="s">
        <v>75</v>
      </c>
      <c r="O27" t="s">
        <v>76</v>
      </c>
    </row>
    <row r="28" spans="3:21">
      <c r="E28" s="1" t="s">
        <v>77</v>
      </c>
    </row>
    <row r="29" spans="3:21">
      <c r="E29" s="1" t="s">
        <v>78</v>
      </c>
    </row>
    <row r="30" spans="3:21">
      <c r="E30" s="1" t="s">
        <v>79</v>
      </c>
    </row>
    <row r="31" spans="3:21">
      <c r="E31" s="1" t="s">
        <v>80</v>
      </c>
    </row>
    <row r="32" spans="3:21">
      <c r="E32" s="1" t="s">
        <v>81</v>
      </c>
    </row>
    <row r="33" spans="5:5">
      <c r="E33" s="1" t="s">
        <v>82</v>
      </c>
    </row>
    <row r="34" spans="5:5">
      <c r="E34" s="1" t="s">
        <v>83</v>
      </c>
    </row>
    <row r="35" spans="5:5">
      <c r="E35" s="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William Quigley</cp:lastModifiedBy>
  <cp:revision/>
  <dcterms:created xsi:type="dcterms:W3CDTF">2024-06-14T21:29:15Z</dcterms:created>
  <dcterms:modified xsi:type="dcterms:W3CDTF">2025-11-08T16:09:00Z</dcterms:modified>
  <cp:category/>
  <cp:contentStatus/>
</cp:coreProperties>
</file>